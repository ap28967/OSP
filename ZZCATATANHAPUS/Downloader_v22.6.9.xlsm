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0730" windowHeight="11160" firstSheet="1" activeTab="1"/>
  </bookViews>
  <sheets>
    <sheet name="~BLANK" sheetId="2" state="veryHidden" r:id="rId1"/>
    <sheet name="cache" sheetId="1" r:id="rId2"/>
    <sheet name="Info" sheetId="3" r:id="rId3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" i="1" l="1"/>
  <c r="A11" i="1" l="1"/>
  <c r="A12" i="1"/>
  <c r="A8" i="1"/>
  <c r="A9" i="1"/>
  <c r="A10" i="1"/>
  <c r="C10" i="1" s="1"/>
  <c r="C11" i="1" l="1"/>
  <c r="C8" i="1"/>
</calcChain>
</file>

<file path=xl/sharedStrings.xml><?xml version="1.0" encoding="utf-8"?>
<sst xmlns="http://schemas.openxmlformats.org/spreadsheetml/2006/main" count="29" uniqueCount="29">
  <si>
    <t>&lt;option value="" &gt;ABSENSI + KETERANGAN + LEMBUR&lt;/option&gt;</t>
  </si>
  <si>
    <t>&lt;option value="1" &gt;ABSENSI + KETERANGAN&lt;/option&gt;</t>
  </si>
  <si>
    <t>&lt;option value="2" &gt;ABSENSI&lt;/option&gt;</t>
  </si>
  <si>
    <t>&lt;option value="3" selected&gt;KETERANGAN&lt;/option&gt;</t>
  </si>
  <si>
    <t>&lt;option value="4" &gt;LEMBUR&lt;/option&gt;</t>
  </si>
  <si>
    <t>Download Interval (Minute)</t>
  </si>
  <si>
    <t>excel</t>
  </si>
  <si>
    <t>http://hrd.daihatsu.astra.co.id/hrd-tms2/files/hrestmsadmininoutexcel.php?sendData=MzUwOXx8NTY3NjY==&amp;SNPK=&amp;SKARYAWAN=&amp;SBULAN=&amp;STAHUN=&amp;SSHIFT=&amp;SSTATUSKARY=Local&amp;SSTATUSKERJA=Aktif&amp;SIDGOLONGAN=5&amp;SLOGIKA=&lt;&amp;SCOSTCENTER=&amp;STANGGALAWAL=2021-03-01&amp;STANGGALAKHIR=2021-03-01&amp;SDISPLAY=</t>
  </si>
  <si>
    <t>Save Download Location</t>
  </si>
  <si>
    <t>view</t>
  </si>
  <si>
    <t>http://hrd.daihatsu.astra.co.id/hrd-tms2/files/hrestmsadmininoutview.php?sendData=MzUwOXx8NTY3NjY=&amp;SNPK=&amp;SKARYAWAN=&amp;SBULAN=&amp;STAHUN=&amp;STANGGALAWAL=2021-03-01&amp;STANGGALAKHIR=2021-03-31&amp;SSHIFT=&amp;SIDGOLONGAN=5&amp;SLOGIKA=&lt;&amp;SSTATUSKARY=Local&amp;SCOSTCENTER=&amp;SDISPLAY=3&amp;txtJmldata=10000</t>
  </si>
  <si>
    <t>Option Interval</t>
  </si>
  <si>
    <t>now</t>
  </si>
  <si>
    <t>LINK</t>
  </si>
  <si>
    <t>monthly</t>
  </si>
  <si>
    <t>Tanggal Ulang</t>
  </si>
  <si>
    <t>TIMER</t>
  </si>
  <si>
    <t>Label Daily</t>
  </si>
  <si>
    <t>Label Count Down</t>
  </si>
  <si>
    <t>Remain Count Down</t>
  </si>
  <si>
    <t>Close &amp; Save Aplikasi</t>
  </si>
  <si>
    <t>Uploading</t>
  </si>
  <si>
    <t>UNTUK NAMA FILE</t>
  </si>
  <si>
    <t>\\adm-fs\BODY\BODY02\Body Plant\BAIS</t>
  </si>
  <si>
    <t>HARI INI</t>
  </si>
  <si>
    <t>KEMARIN UNTUK 2 HARI</t>
  </si>
  <si>
    <t>NOTE :</t>
  </si>
  <si>
    <t>Output File Harian</t>
  </si>
  <si>
    <t>Data yang didownload hari ini dan kemarin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</si>
</sst>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1" applyAlignment="1">
      <alignment horizontal="right" vertical="center"/>
    </xf>
    <xf numFmtId="0" fontId="2" fillId="0" borderId="0" xfId="1" applyFont="1" applyAlignment="1">
      <alignment vertical="center"/>
    </xf>
    <xf numFmtId="22" fontId="0" fillId="0" borderId="0" xfId="0" applyNumberForma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4" fillId="0" borderId="0" xfId="0" applyFont="1" applyAlignment="1">
      <alignment vertical="center"/>
    </xf>
    <xf numFmtId="21" fontId="0" fillId="0" borderId="7" xfId="0" applyNumberForma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21" fontId="0" fillId="0" borderId="0" xfId="0" applyNumberFormat="1" applyAlignment="1">
      <alignment horizontal="left" vertical="center"/>
    </xf>
    <xf numFmtId="0" fontId="5" fillId="0" borderId="0" xfId="0" applyFont="1" applyFill="1" applyAlignment="1">
      <alignment wrapText="1"/>
    </xf>
    <xf numFmtId="0" fontId="3" fillId="0" borderId="0" xfId="0" applyFont="1" applyAlignment="1">
      <alignment horizontal="left" vertical="center"/>
    </xf>
    <xf numFmtId="22" fontId="0" fillId="2" borderId="1" xfId="0" applyNumberFormat="1" applyFill="1" applyBorder="1" applyAlignment="1">
      <alignment horizontal="left" vertical="center"/>
    </xf>
    <xf numFmtId="0" fontId="6" fillId="2" borderId="0" xfId="1" applyFont="1" applyFill="1" applyAlignment="1">
      <alignment vertical="center"/>
    </xf>
    <xf numFmtId="0" fontId="3" fillId="2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N12"/>
  <sheetViews>
    <sheetView zoomScale="85" zoomScaleNormal="85" workbookViewId="0">
      <selection activeCell="I29" sqref="I29"/>
    </sheetView>
  </sheetViews>
  <sheetFormatPr defaultRowHeight="15" x14ac:dyDescent="0.25"/>
  <sheetData>
    <row r="12" spans="14:14" x14ac:dyDescent="0.25">
      <c r="N12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2"/>
  <sheetViews>
    <sheetView tabSelected="1" zoomScale="85" zoomScaleNormal="85" workbookViewId="0">
      <selection activeCell="I26" sqref="I26"/>
    </sheetView>
  </sheetViews>
  <sheetFormatPr defaultRowHeight="15" x14ac:dyDescent="0.25"/>
  <cols>
    <col min="1" max="1" width="15.42578125" style="2" customWidth="1"/>
    <col min="2" max="2" width="59.140625" style="2" bestFit="1" customWidth="1"/>
    <col min="3" max="3" width="9.140625" style="1"/>
    <col min="4" max="4" width="70.5703125" style="1" customWidth="1"/>
    <col min="5" max="16384" width="9.140625" style="1"/>
  </cols>
  <sheetData>
    <row r="1" spans="1:4" x14ac:dyDescent="0.25">
      <c r="A1" s="3">
        <v>1</v>
      </c>
      <c r="B1" s="4" t="s">
        <v>5</v>
      </c>
      <c r="C1" s="5" t="s">
        <v>6</v>
      </c>
      <c r="D1" s="1" t="s">
        <v>7</v>
      </c>
    </row>
    <row r="2" spans="1:4" x14ac:dyDescent="0.25">
      <c r="A2" s="3" t="s">
        <v>23</v>
      </c>
      <c r="B2" s="4" t="s">
        <v>8</v>
      </c>
      <c r="C2" s="6" t="s">
        <v>9</v>
      </c>
      <c r="D2" s="7" t="s">
        <v>10</v>
      </c>
    </row>
    <row r="3" spans="1:4" x14ac:dyDescent="0.25">
      <c r="C3" s="6"/>
    </row>
    <row r="4" spans="1:4" x14ac:dyDescent="0.25">
      <c r="A4" s="2">
        <v>0</v>
      </c>
      <c r="B4" s="2" t="s">
        <v>20</v>
      </c>
      <c r="C4" s="5"/>
    </row>
    <row r="5" spans="1:4" x14ac:dyDescent="0.25">
      <c r="C5" s="6"/>
    </row>
    <row r="6" spans="1:4" x14ac:dyDescent="0.25">
      <c r="A6" s="2">
        <v>3</v>
      </c>
      <c r="B6" s="2" t="s">
        <v>11</v>
      </c>
    </row>
    <row r="7" spans="1:4" x14ac:dyDescent="0.25">
      <c r="A7" s="8">
        <f ca="1">NOW()</f>
        <v>44721.431751504628</v>
      </c>
      <c r="B7" s="2" t="s">
        <v>12</v>
      </c>
      <c r="C7" s="9" t="s">
        <v>13</v>
      </c>
    </row>
    <row r="8" spans="1:4" x14ac:dyDescent="0.25">
      <c r="A8" s="10" t="str">
        <f ca="1">TEXT(A7,"yyyy-mm")&amp;"-01"</f>
        <v>2022-06-01</v>
      </c>
      <c r="B8" s="11" t="s">
        <v>14</v>
      </c>
      <c r="C8" s="1" t="str">
        <f ca="1">"http://hrd.daihatsu.astra.co.id/hrd-tms2/files/hrestmsadmininoutview.php?sendData=MzUwOXx8NTY3NjY==&amp;SNPK=&amp;SKARYAWAN=&amp;SBULAN=&amp;STAHUN=&amp;SSHIFT=&amp;SSTATUSKARY=Local&amp;SSTATUSKERJA=Aktif&amp;SIDGOLONGAN=5&amp;SLOGIKA=&lt;&amp;SCOSTCENTER=&amp;STANGGALAWAL="&amp;A8&amp;"&amp;STANGGALAKHIR="&amp;A10&amp;"&amp;SDISPLAY="&amp;A26&amp;"&amp;txtJmldata=999999"</f>
        <v>http://hrd.daihatsu.astra.co.id/hrd-tms2/files/hrestmsadmininoutview.php?sendData=MzUwOXx8NTY3NjY==&amp;SNPK=&amp;SKARYAWAN=&amp;SBULAN=&amp;STAHUN=&amp;SSHIFT=&amp;SSTATUSKARY=Local&amp;SSTATUSKERJA=Aktif&amp;SIDGOLONGAN=5&amp;SLOGIKA=&lt;&amp;SCOSTCENTER=&amp;STANGGALAWAL=2022-06-01&amp;STANGGALAKHIR=2022-06-09&amp;SDISPLAY=&amp;txtJmldata=999999</v>
      </c>
    </row>
    <row r="9" spans="1:4" x14ac:dyDescent="0.25">
      <c r="A9" s="12" t="str">
        <f ca="1">TEXT(A7,"yyyy-mm")&amp;"-"&amp;TEXT(EOMONTH(A7,0),"dd")</f>
        <v>2022-06-30</v>
      </c>
      <c r="B9" s="13"/>
      <c r="C9" s="14"/>
    </row>
    <row r="10" spans="1:4" x14ac:dyDescent="0.25">
      <c r="A10" s="15" t="str">
        <f ca="1">TEXT(A7,"yyyy-mm-dd")</f>
        <v>2022-06-09</v>
      </c>
      <c r="B10" s="16" t="s">
        <v>24</v>
      </c>
      <c r="C10" s="1" t="str">
        <f ca="1">"http://hrd.daihatsu.astra.co.id/hrd-tms2/files/hrestmsadmininoutview.php?sendData=MzUwOXx8NTY3NjY==&amp;SNPK=&amp;SKARYAWAN=&amp;SBULAN=&amp;STAHUN=&amp;SSHIFT=&amp;SSTATUSKARY=Local&amp;SSTATUSKERJA=Aktif&amp;SIDGOLONGAN=5&amp;SLOGIKA=&lt;&amp;SCOSTCENTER=&amp;STANGGALAWAL="&amp;A10&amp;"&amp;STANGGALAKHIR="&amp;A10&amp;"&amp;SDISPLAY="&amp;A26&amp;"&amp;txtJmldata=999999"</f>
        <v>http://hrd.daihatsu.astra.co.id/hrd-tms2/files/hrestmsadmininoutview.php?sendData=MzUwOXx8NTY3NjY==&amp;SNPK=&amp;SKARYAWAN=&amp;SBULAN=&amp;STAHUN=&amp;SSHIFT=&amp;SSTATUSKARY=Local&amp;SSTATUSKERJA=Aktif&amp;SIDGOLONGAN=5&amp;SLOGIKA=&lt;&amp;SCOSTCENTER=&amp;STANGGALAWAL=2022-06-09&amp;STANGGALAKHIR=2022-06-09&amp;SDISPLAY=&amp;txtJmldata=999999</v>
      </c>
    </row>
    <row r="11" spans="1:4" x14ac:dyDescent="0.25">
      <c r="A11" s="20" t="str">
        <f ca="1">TEXT(A7-1,"yyyy-mm-dd")</f>
        <v>2022-06-08</v>
      </c>
      <c r="B11" s="4" t="s">
        <v>25</v>
      </c>
      <c r="C11" s="21" t="str">
        <f ca="1">"http://hrd.daihatsu.astra.co.id/hrd-tms2/files/hrestmsadmininoutview.php?sendData=MzUwOXx8NTY3NjY==&amp;SNPK=&amp;SKARYAWAN=&amp;SBULAN=&amp;STAHUN=&amp;SSHIFT=&amp;SSTATUSKARY=Local&amp;SSTATUSKERJA=Aktif&amp;SIDGOLONGAN=5&amp;SLOGIKA=&lt;&amp;SCOSTCENTER=&amp;STANGGALAWAL="&amp;A11&amp;"&amp;STANGGALAKHIR="&amp;A10&amp;"&amp;SDISPLAY="&amp;A26&amp;"&amp;txtJmldata=999999"</f>
        <v>http://hrd.daihatsu.astra.co.id/hrd-tms2/files/hrestmsadmininoutview.php?sendData=MzUwOXx8NTY3NjY==&amp;SNPK=&amp;SKARYAWAN=&amp;SBULAN=&amp;STAHUN=&amp;SSHIFT=&amp;SSTATUSKARY=Local&amp;SSTATUSKERJA=Aktif&amp;SIDGOLONGAN=5&amp;SLOGIKA=&lt;&amp;SCOSTCENTER=&amp;STANGGALAWAL=2022-06-08&amp;STANGGALAKHIR=2022-06-09&amp;SDISPLAY=&amp;txtJmldata=999999</v>
      </c>
    </row>
    <row r="12" spans="1:4" x14ac:dyDescent="0.25">
      <c r="A12" s="19" t="str">
        <f ca="1">TEXT(A7,"yyyymmdd")</f>
        <v>20220609</v>
      </c>
      <c r="B12" s="8" t="s">
        <v>22</v>
      </c>
    </row>
    <row r="14" spans="1:4" x14ac:dyDescent="0.25">
      <c r="A14" s="2">
        <v>16</v>
      </c>
      <c r="B14" s="2" t="s">
        <v>15</v>
      </c>
      <c r="C14" s="9" t="s">
        <v>16</v>
      </c>
    </row>
    <row r="15" spans="1:4" x14ac:dyDescent="0.25">
      <c r="A15" s="17">
        <v>0.29166666666666669</v>
      </c>
      <c r="B15" s="2" t="s">
        <v>17</v>
      </c>
      <c r="C15" s="2"/>
    </row>
    <row r="16" spans="1:4" x14ac:dyDescent="0.25">
      <c r="A16" s="17">
        <v>2.3148148148148146E-4</v>
      </c>
      <c r="B16" s="2" t="s">
        <v>18</v>
      </c>
    </row>
    <row r="17" spans="1:4" x14ac:dyDescent="0.25">
      <c r="A17" s="17">
        <v>1.4930555555555556E-3</v>
      </c>
      <c r="B17" s="2" t="s">
        <v>19</v>
      </c>
    </row>
    <row r="23" spans="1:4" x14ac:dyDescent="0.25">
      <c r="D23" s="22" t="s">
        <v>26</v>
      </c>
    </row>
    <row r="24" spans="1:4" x14ac:dyDescent="0.25">
      <c r="D24" s="22" t="s">
        <v>27</v>
      </c>
    </row>
    <row r="25" spans="1:4" x14ac:dyDescent="0.25">
      <c r="D25" s="22" t="s">
        <v>28</v>
      </c>
    </row>
    <row r="26" spans="1:4" x14ac:dyDescent="0.25">
      <c r="B26" s="1" t="s">
        <v>0</v>
      </c>
    </row>
    <row r="27" spans="1:4" x14ac:dyDescent="0.25">
      <c r="B27" s="1" t="s">
        <v>1</v>
      </c>
    </row>
    <row r="28" spans="1:4" x14ac:dyDescent="0.25">
      <c r="B28" s="1" t="s">
        <v>2</v>
      </c>
    </row>
    <row r="29" spans="1:4" x14ac:dyDescent="0.25">
      <c r="B29" s="1" t="s">
        <v>3</v>
      </c>
    </row>
    <row r="30" spans="1:4" x14ac:dyDescent="0.25">
      <c r="B30" s="1" t="s">
        <v>4</v>
      </c>
    </row>
    <row r="32" spans="1:4" x14ac:dyDescent="0.25">
      <c r="A32" s="2">
        <v>1</v>
      </c>
      <c r="B32" s="2" t="s">
        <v>21</v>
      </c>
    </row>
  </sheetData>
  <hyperlinks>
    <hyperlink ref="D2" display="http://hrd.daihatsu.astra.co.id/hrd-tms2/files/hrestmsadmininoutview.php?sendData=MzUwOXx8NTY3NjY=&amp;SNPK=&amp;SKARYAWAN=&amp;SBULAN=&amp;STAHUN=&amp;STANGGALAWAL=2021-03-01&amp;STANGGALAKHIR=2021-03-31&amp;SSHIFT=&amp;SIDGOLONGAN=5&amp;SLOGIKA=&lt;&amp;SSTATUSKARY=Local&amp;SCOSTCENTER=&amp;SDISPLAY=3&amp;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showGridLines="0" showRowColHeaders="0" topLeftCell="XFD1" zoomScale="190" zoomScaleNormal="190" workbookViewId="0">
      <selection activeCell="XFD1" sqref="XFD1"/>
    </sheetView>
  </sheetViews>
  <sheetFormatPr defaultColWidth="0" defaultRowHeight="15" zeroHeight="1" x14ac:dyDescent="0.25"/>
  <cols>
    <col min="1" max="1" width="26.85546875" hidden="1" customWidth="1"/>
    <col min="2" max="2" width="0" hidden="1" customWidth="1"/>
  </cols>
  <sheetData>
    <row r="1" spans="1:1" x14ac:dyDescent="0.25">
      <c r="A1" s="18"/>
    </row>
    <row r="2" spans="1:1" hidden="1" x14ac:dyDescent="0.25"/>
    <row r="3" spans="1:1" hidden="1" x14ac:dyDescent="0.25"/>
    <row r="4" spans="1:1" hidden="1" x14ac:dyDescent="0.25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cache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</dc:creator>
  <cp:lastModifiedBy>Anugrah Pratama</cp:lastModifiedBy>
  <cp:lastPrinted>2021-04-22T06:08:14Z</cp:lastPrinted>
  <dcterms:created xsi:type="dcterms:W3CDTF">2021-04-05T17:34:28Z</dcterms:created>
  <dcterms:modified xsi:type="dcterms:W3CDTF">2022-06-09T03:21:46Z</dcterms:modified>
</cp:coreProperties>
</file>